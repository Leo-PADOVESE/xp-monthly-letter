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c88da3bd3de4866/Documentos/Enters case/"/>
    </mc:Choice>
  </mc:AlternateContent>
  <xr:revisionPtr revIDLastSave="49" documentId="11_57185A849EE146EA8C0CBAFC5DDDAE1B6A68515F" xr6:coauthVersionLast="47" xr6:coauthVersionMax="47" xr10:uidLastSave="{6401F412-C298-4F07-BE5E-52C901170376}"/>
  <bookViews>
    <workbookView xWindow="-110" yWindow="-110" windowWidth="19420" windowHeight="11500" xr2:uid="{00000000-000D-0000-FFFF-FFFF00000000}"/>
  </bookViews>
  <sheets>
    <sheet name="profitability_calc_w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<sst xmlns="http://schemas.openxmlformats.org/spreadsheetml/2006/main" count="30" uniqueCount="19">
  <si>
    <t>Asset class</t>
  </si>
  <si>
    <t>Asset</t>
  </si>
  <si>
    <t>Current price</t>
  </si>
  <si>
    <t>Last month price</t>
  </si>
  <si>
    <t>Stocks</t>
  </si>
  <si>
    <t>LREN3</t>
  </si>
  <si>
    <t>GGBR4</t>
  </si>
  <si>
    <t>ARZZ3</t>
  </si>
  <si>
    <t>ABEV3</t>
  </si>
  <si>
    <t>PETR4</t>
  </si>
  <si>
    <t>VALE3</t>
  </si>
  <si>
    <t>ITUB4</t>
  </si>
  <si>
    <t>MRFG3</t>
  </si>
  <si>
    <t>WEGE3</t>
  </si>
  <si>
    <t>B3SA3</t>
  </si>
  <si>
    <t>BBAS3</t>
  </si>
  <si>
    <t>HAPV3</t>
  </si>
  <si>
    <t>Percentage Change</t>
  </si>
  <si>
    <t>Monetary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</si>
</sst>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0" fontId="0" fillId="0" borderId="0" xfId="2" applyNumberFormat="1" applyFont="1"/>
    <xf numFmtId="44" fontId="0" fillId="0" borderId="0" xfId="1" applyFont="1"/>
    <xf numFmtId="10" fontId="0" fillId="2" borderId="0" xfId="2" applyNumberFormat="1" applyFont="1" applyFill="1"/>
    <xf numFmtId="44" fontId="1" fillId="2" borderId="0" xfId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selection activeCell="G15" sqref="G15"/>
    </sheetView>
  </sheetViews>
  <sheetFormatPr defaultColWidth="12.6328125" defaultRowHeight="15.75" customHeight="1" x14ac:dyDescent="0.25"/>
  <cols>
    <col min="5" max="5" width="20.453125" style="4" customWidth="1"/>
    <col min="6" max="6" width="18.54296875" style="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17</v>
      </c>
      <c r="F1" s="7" t="s">
        <v>18</v>
      </c>
    </row>
    <row r="2" spans="1:6" ht="15.75" customHeight="1" x14ac:dyDescent="0.25">
      <c r="A2" s="1" t="s">
        <v>4</v>
      </c>
      <c r="B2" s="1" t="s">
        <v>5</v>
      </c>
      <c r="C2" s="2">
        <v>16.940000000000001</v>
      </c>
      <c r="D2" s="2">
        <v>15.55</v>
      </c>
      <c r="E2" s="4">
        <f>C2/D2-1</f>
        <v>8.9389067524115795E-2</v>
      </c>
      <c r="F2" s="5">
        <f>C2-D2</f>
        <v>1.3900000000000006</v>
      </c>
    </row>
    <row r="3" spans="1:6" ht="15.75" customHeight="1" x14ac:dyDescent="0.25">
      <c r="A3" s="1" t="s">
        <v>4</v>
      </c>
      <c r="B3" s="1" t="s">
        <v>6</v>
      </c>
      <c r="C3" s="2">
        <v>23.45</v>
      </c>
      <c r="D3" s="2">
        <v>22.9</v>
      </c>
      <c r="E3" s="4">
        <f t="shared" ref="E3:E13" si="0">C3/D3-1</f>
        <v>2.4017467248908408E-2</v>
      </c>
      <c r="F3" s="5">
        <f t="shared" ref="F3:F13" si="1">C3-D3</f>
        <v>0.55000000000000071</v>
      </c>
    </row>
    <row r="4" spans="1:6" ht="15.75" customHeight="1" x14ac:dyDescent="0.25">
      <c r="A4" s="1" t="s">
        <v>4</v>
      </c>
      <c r="B4" s="1" t="s">
        <v>7</v>
      </c>
      <c r="C4" s="2">
        <v>56.58</v>
      </c>
      <c r="D4" s="2">
        <v>56.55</v>
      </c>
      <c r="E4" s="4">
        <f t="shared" si="0"/>
        <v>5.3050397877996147E-4</v>
      </c>
      <c r="F4" s="5">
        <f t="shared" si="1"/>
        <v>3.0000000000001137E-2</v>
      </c>
    </row>
    <row r="5" spans="1:6" ht="15.75" customHeight="1" x14ac:dyDescent="0.25">
      <c r="A5" s="1" t="s">
        <v>4</v>
      </c>
      <c r="B5" s="1" t="s">
        <v>8</v>
      </c>
      <c r="C5" s="2">
        <v>14.32</v>
      </c>
      <c r="D5" s="2">
        <v>13.5</v>
      </c>
      <c r="E5" s="4">
        <f t="shared" si="0"/>
        <v>6.0740740740740762E-2</v>
      </c>
      <c r="F5" s="5">
        <f t="shared" si="1"/>
        <v>0.82000000000000028</v>
      </c>
    </row>
    <row r="6" spans="1:6" ht="15.75" customHeight="1" x14ac:dyDescent="0.25">
      <c r="A6" s="1" t="s">
        <v>4</v>
      </c>
      <c r="B6" s="1" t="s">
        <v>9</v>
      </c>
      <c r="C6" s="2">
        <v>37.119999999999997</v>
      </c>
      <c r="D6" s="2">
        <v>34.799999999999997</v>
      </c>
      <c r="E6" s="4">
        <f t="shared" si="0"/>
        <v>6.6666666666666652E-2</v>
      </c>
      <c r="F6" s="5">
        <f t="shared" si="1"/>
        <v>2.3200000000000003</v>
      </c>
    </row>
    <row r="7" spans="1:6" ht="15.75" customHeight="1" x14ac:dyDescent="0.25">
      <c r="A7" s="1" t="s">
        <v>4</v>
      </c>
      <c r="B7" s="1" t="s">
        <v>10</v>
      </c>
      <c r="C7" s="2">
        <v>63.45</v>
      </c>
      <c r="D7" s="2">
        <v>61.1</v>
      </c>
      <c r="E7" s="4">
        <f t="shared" si="0"/>
        <v>3.8461538461538547E-2</v>
      </c>
      <c r="F7" s="5">
        <f t="shared" si="1"/>
        <v>2.3500000000000014</v>
      </c>
    </row>
    <row r="8" spans="1:6" ht="15.75" customHeight="1" x14ac:dyDescent="0.25">
      <c r="A8" s="1" t="s">
        <v>4</v>
      </c>
      <c r="B8" s="1" t="s">
        <v>11</v>
      </c>
      <c r="C8" s="3">
        <v>27.8</v>
      </c>
      <c r="D8" s="3">
        <v>26.9</v>
      </c>
      <c r="E8" s="4">
        <f t="shared" si="0"/>
        <v>3.3457249070631967E-2</v>
      </c>
      <c r="F8" s="5">
        <f t="shared" si="1"/>
        <v>0.90000000000000213</v>
      </c>
    </row>
    <row r="9" spans="1:6" ht="15.75" customHeight="1" x14ac:dyDescent="0.25">
      <c r="A9" s="1" t="s">
        <v>4</v>
      </c>
      <c r="B9" s="1" t="s">
        <v>12</v>
      </c>
      <c r="C9" s="2">
        <v>10.26</v>
      </c>
      <c r="D9" s="2">
        <v>12.27</v>
      </c>
      <c r="E9" s="4">
        <f t="shared" si="0"/>
        <v>-0.16381418092909539</v>
      </c>
      <c r="F9" s="5">
        <f t="shared" si="1"/>
        <v>-2.0099999999999998</v>
      </c>
    </row>
    <row r="10" spans="1:6" ht="15.75" customHeight="1" x14ac:dyDescent="0.25">
      <c r="A10" s="1" t="s">
        <v>4</v>
      </c>
      <c r="B10" s="1" t="s">
        <v>13</v>
      </c>
      <c r="C10" s="2">
        <v>42.6</v>
      </c>
      <c r="D10" s="2">
        <v>41.2</v>
      </c>
      <c r="E10" s="4">
        <f t="shared" si="0"/>
        <v>3.398058252427183E-2</v>
      </c>
      <c r="F10" s="5">
        <f t="shared" si="1"/>
        <v>1.3999999999999986</v>
      </c>
    </row>
    <row r="11" spans="1:6" ht="15.75" customHeight="1" x14ac:dyDescent="0.25">
      <c r="A11" s="1" t="s">
        <v>4</v>
      </c>
      <c r="B11" s="1" t="s">
        <v>14</v>
      </c>
      <c r="C11" s="2">
        <v>12.05</v>
      </c>
      <c r="D11" s="2">
        <v>11.75</v>
      </c>
      <c r="E11" s="4">
        <f t="shared" si="0"/>
        <v>2.5531914893617058E-2</v>
      </c>
      <c r="F11" s="5">
        <f t="shared" si="1"/>
        <v>0.30000000000000071</v>
      </c>
    </row>
    <row r="12" spans="1:6" ht="15.75" customHeight="1" x14ac:dyDescent="0.25">
      <c r="A12" s="1" t="s">
        <v>4</v>
      </c>
      <c r="B12" s="1" t="s">
        <v>15</v>
      </c>
      <c r="C12" s="3">
        <v>28.3</v>
      </c>
      <c r="D12" s="3">
        <v>26.9</v>
      </c>
      <c r="E12" s="4">
        <f t="shared" si="0"/>
        <v>5.2044609665427677E-2</v>
      </c>
      <c r="F12" s="5">
        <f t="shared" si="1"/>
        <v>1.4000000000000021</v>
      </c>
    </row>
    <row r="13" spans="1:6" ht="15.75" customHeight="1" x14ac:dyDescent="0.25">
      <c r="A13" s="1" t="s">
        <v>4</v>
      </c>
      <c r="B13" s="1" t="s">
        <v>16</v>
      </c>
      <c r="C13" s="2">
        <v>3.97</v>
      </c>
      <c r="D13" s="2">
        <v>2.25</v>
      </c>
      <c r="E13" s="4">
        <f t="shared" si="0"/>
        <v>0.76444444444444448</v>
      </c>
      <c r="F13" s="5">
        <f t="shared" si="1"/>
        <v>1.7200000000000002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profitability_calc_wip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Padovese</cp:lastModifiedBy>
  <dcterms:modified xsi:type="dcterms:W3CDTF">2026-10-28T04:00:18Z</dcterms:modified>
</cp:coreProperties>
</file>